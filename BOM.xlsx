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<sst xmlns="http://schemas.openxmlformats.org/spreadsheetml/2006/main" count="41" uniqueCount="41">
  <si>
    <t xml:space="preserve">SI No.</t>
  </si>
  <si>
    <t xml:space="preserve">Name</t>
  </si>
  <si>
    <t xml:space="preserve">Notes</t>
  </si>
  <si>
    <t xml:space="preserve">Quantity</t>
  </si>
  <si>
    <t xml:space="preserve">Price Per Unit</t>
  </si>
  <si>
    <t xml:space="preserve">Total</t>
  </si>
  <si>
    <t xml:space="preserve">Running Total</t>
  </si>
  <si>
    <t xml:space="preserve">Price/Unit(USD)</t>
  </si>
  <si>
    <t xml:space="preserve">Total (USD)</t>
  </si>
  <si>
    <t xml:space="preserve">Running Total (USD)</t>
  </si>
  <si>
    <t xml:space="preserve">Link</t>
  </si>
  <si>
    <t xml:space="preserve">Keygeek x MZ Y1 Keyboard Switch (Pack of 10)</t>
  </si>
  <si>
    <t xml:space="preserve">mx compatable switches</t>
  </si>
  <si>
    <t xml:space="preserve">stackskb.com/store/keygeek-y1-keyboard-switch/</t>
  </si>
  <si>
    <t xml:space="preserve">PCB ( JLC Sponcered)</t>
  </si>
  <si>
    <t xml:space="preserve">sponcered PCB from JLCPCB</t>
  </si>
  <si>
    <t xml:space="preserve">jlcpcb.com</t>
  </si>
  <si>
    <t xml:space="preserve">Durock Clear Screw-In Stabilizers V2</t>
  </si>
  <si>
    <t xml:space="preserve">Screw In stabs</t>
  </si>
  <si>
    <t xml:space="preserve">stackskb.com/store/durock-clear-screw-in-stabilizers-v2/</t>
  </si>
  <si>
    <t xml:space="preserve">Gateron Hotswap Sockets</t>
  </si>
  <si>
    <t xml:space="preserve">Hotswap Sockets</t>
  </si>
  <si>
    <t xml:space="preserve">stackskb.com/store/gateron-hotswap-sockets/</t>
  </si>
  <si>
    <t xml:space="preserve">1N4148 SOD-123 SMD Diode (Pack of 10)</t>
  </si>
  <si>
    <t xml:space="preserve">n-key roll over</t>
  </si>
  <si>
    <t xml:space="preserve">stackskb.com/store/1n4148-sod-123-smd-diode/</t>
  </si>
  <si>
    <t xml:space="preserve">Ykyio Keycap Set</t>
  </si>
  <si>
    <t xml:space="preserve">Keycaps</t>
  </si>
  <si>
    <t xml:space="preserve">meckeys.com/shop/accessories/keyboard-accessories/keycaps/ykyio-keycap-set/</t>
  </si>
  <si>
    <t xml:space="preserve">Pico</t>
  </si>
  <si>
    <t xml:space="preserve">MCU</t>
  </si>
  <si>
    <t xml:space="preserve">makerbazar.in/products/luatos-usb-c-raspberry-pi-pico-development-board-based-on-rp2040-microcontroller</t>
  </si>
  <si>
    <t xml:space="preserve">Heat Set insert</t>
  </si>
  <si>
    <t xml:space="preserve">m3</t>
  </si>
  <si>
    <t xml:space="preserve">makerbazar.in/products/brass-heat-set-threaded-round-female-insert-nut</t>
  </si>
  <si>
    <t xml:space="preserve">Screw philips</t>
  </si>
  <si>
    <t xml:space="preserve">pack of 10</t>
  </si>
  <si>
    <t xml:space="preserve">makerbazar.in/products/philips-head-nuts-bolts-set-silver-plated-pack-of-10</t>
  </si>
  <si>
    <t xml:space="preserve">Neopixles(sk6812 mini-e)</t>
  </si>
  <si>
    <t xml:space="preserve">LCSC</t>
  </si>
  <si>
    <t xml:space="preserve">www.lcsc.com/product-detail/Light-Emitting-Diodes-LED_OPSCO-Optoelectronics-SK6812MINI-E_C5149201.html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</si>
</sst>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38"/>
    <col collapsed="false" customWidth="true" hidden="false" outlineLevel="0" max="2" min="2" style="0" width="38.25"/>
    <col collapsed="false" customWidth="true" hidden="false" outlineLevel="0" max="3" min="3" style="0" width="26.63"/>
    <col collapsed="false" customWidth="true" hidden="false" outlineLevel="0" max="11" min="8" style="0" width="19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1" t="n">
        <v>1</v>
      </c>
      <c r="B2" s="1" t="s">
        <v>11</v>
      </c>
      <c r="C2" s="1" t="s">
        <v>12</v>
      </c>
      <c r="D2" s="1" t="n">
        <v>7</v>
      </c>
      <c r="E2" s="1" t="n">
        <v>300</v>
      </c>
      <c r="F2" s="2" t="n">
        <f aca="false">D2*E2</f>
        <v>2100</v>
      </c>
      <c r="G2" s="1" t="n">
        <f aca="false">F2</f>
        <v>2100</v>
      </c>
      <c r="H2" s="1" t="n">
        <f aca="false">ROUND(E2/95, 2)</f>
        <v>3.16</v>
      </c>
      <c r="I2" s="1" t="n">
        <f aca="false">ROUND(F2/95,2)</f>
        <v>22.11</v>
      </c>
      <c r="J2" s="1" t="n">
        <f aca="false">ROUND(G2/95,2)</f>
        <v>22.11</v>
      </c>
      <c r="K2" s="3" t="s">
        <v>13</v>
      </c>
    </row>
    <row r="3" customFormat="false" ht="15.75" hidden="false" customHeight="false" outlineLevel="0" collapsed="false">
      <c r="A3" s="1" t="n">
        <v>2</v>
      </c>
      <c r="B3" s="1" t="s">
        <v>14</v>
      </c>
      <c r="C3" s="1" t="s">
        <v>15</v>
      </c>
      <c r="D3" s="1" t="n">
        <v>1</v>
      </c>
      <c r="E3" s="1" t="n">
        <v>200</v>
      </c>
      <c r="F3" s="2" t="n">
        <f aca="false">D3*E3</f>
        <v>200</v>
      </c>
      <c r="G3" s="2" t="n">
        <f aca="false">G2+F3</f>
        <v>2300</v>
      </c>
      <c r="H3" s="1" t="n">
        <f aca="false">ROUND(E3/95, 2)</f>
        <v>2.11</v>
      </c>
      <c r="I3" s="1" t="n">
        <f aca="false">ROUND(F3/95,2)</f>
        <v>2.11</v>
      </c>
      <c r="J3" s="1" t="n">
        <f aca="false">ROUND(G3/95,2)</f>
        <v>24.21</v>
      </c>
      <c r="K3" s="3" t="s">
        <v>16</v>
      </c>
    </row>
    <row r="4" customFormat="false" ht="15.75" hidden="false" customHeight="false" outlineLevel="0" collapsed="false">
      <c r="A4" s="1" t="n">
        <v>3</v>
      </c>
      <c r="B4" s="1" t="s">
        <v>17</v>
      </c>
      <c r="C4" s="1" t="s">
        <v>18</v>
      </c>
      <c r="D4" s="1" t="n">
        <v>1</v>
      </c>
      <c r="E4" s="1" t="n">
        <v>1600</v>
      </c>
      <c r="F4" s="2" t="n">
        <f aca="false">D4*E4</f>
        <v>1600</v>
      </c>
      <c r="G4" s="2" t="n">
        <f aca="false">G3+F4</f>
        <v>3900</v>
      </c>
      <c r="H4" s="1" t="n">
        <f aca="false">ROUND(E4/95, 2)</f>
        <v>16.84</v>
      </c>
      <c r="I4" s="1" t="n">
        <f aca="false">ROUND(F4/95,2)</f>
        <v>16.84</v>
      </c>
      <c r="J4" s="1" t="n">
        <f aca="false">ROUND(G4/95,2)</f>
        <v>41.05</v>
      </c>
      <c r="K4" s="3" t="s">
        <v>19</v>
      </c>
    </row>
    <row r="5" customFormat="false" ht="15.75" hidden="false" customHeight="false" outlineLevel="0" collapsed="false">
      <c r="A5" s="1" t="n">
        <v>4</v>
      </c>
      <c r="B5" s="1" t="s">
        <v>20</v>
      </c>
      <c r="C5" s="1" t="s">
        <v>21</v>
      </c>
      <c r="D5" s="1" t="n">
        <v>70</v>
      </c>
      <c r="E5" s="1" t="n">
        <v>10</v>
      </c>
      <c r="F5" s="2" t="n">
        <f aca="false">D5*E5</f>
        <v>700</v>
      </c>
      <c r="G5" s="2" t="n">
        <f aca="false">G4+F5</f>
        <v>4600</v>
      </c>
      <c r="H5" s="1" t="n">
        <f aca="false">ROUND(E5/95, 2)</f>
        <v>0.11</v>
      </c>
      <c r="I5" s="1" t="n">
        <f aca="false">ROUND(F5/95,2)</f>
        <v>7.37</v>
      </c>
      <c r="J5" s="1" t="n">
        <f aca="false">ROUND(G5/95,2)</f>
        <v>48.42</v>
      </c>
      <c r="K5" s="3" t="s">
        <v>22</v>
      </c>
    </row>
    <row r="6" customFormat="false" ht="15.75" hidden="false" customHeight="false" outlineLevel="0" collapsed="false">
      <c r="A6" s="1" t="n">
        <v>5</v>
      </c>
      <c r="B6" s="1" t="s">
        <v>23</v>
      </c>
      <c r="C6" s="1" t="s">
        <v>24</v>
      </c>
      <c r="D6" s="1" t="n">
        <v>7</v>
      </c>
      <c r="E6" s="1" t="n">
        <v>20</v>
      </c>
      <c r="F6" s="2" t="n">
        <f aca="false">D6*E6</f>
        <v>140</v>
      </c>
      <c r="G6" s="2" t="n">
        <f aca="false">G5+F6</f>
        <v>4740</v>
      </c>
      <c r="H6" s="1" t="n">
        <f aca="false">ROUND(E6/95, 2)</f>
        <v>0.21</v>
      </c>
      <c r="I6" s="1" t="n">
        <f aca="false">ROUND(F6/95,2)</f>
        <v>1.47</v>
      </c>
      <c r="J6" s="1" t="n">
        <f aca="false">ROUND(G6/95,2)</f>
        <v>49.89</v>
      </c>
      <c r="K6" s="3" t="s">
        <v>25</v>
      </c>
    </row>
    <row r="7" customFormat="false" ht="15.75" hidden="false" customHeight="false" outlineLevel="0" collapsed="false">
      <c r="A7" s="1" t="n">
        <v>6</v>
      </c>
      <c r="B7" s="1" t="s">
        <v>26</v>
      </c>
      <c r="C7" s="1" t="s">
        <v>27</v>
      </c>
      <c r="D7" s="1" t="n">
        <v>1</v>
      </c>
      <c r="E7" s="4" t="n">
        <v>1599</v>
      </c>
      <c r="F7" s="2" t="n">
        <f aca="false">D7*E7</f>
        <v>1599</v>
      </c>
      <c r="G7" s="2" t="n">
        <f aca="false">G6+F7</f>
        <v>6339</v>
      </c>
      <c r="H7" s="1" t="n">
        <f aca="false">ROUND(E7/95, 2)</f>
        <v>16.83</v>
      </c>
      <c r="I7" s="1" t="n">
        <f aca="false">ROUND(F7/95,2)</f>
        <v>16.83</v>
      </c>
      <c r="J7" s="1" t="n">
        <f aca="false">ROUND(G7/95,2)</f>
        <v>66.73</v>
      </c>
      <c r="K7" s="3" t="s">
        <v>28</v>
      </c>
    </row>
    <row r="8" customFormat="false" ht="15.75" hidden="false" customHeight="false" outlineLevel="0" collapsed="false">
      <c r="A8" s="1" t="n">
        <v>7</v>
      </c>
      <c r="B8" s="1" t="s">
        <v>29</v>
      </c>
      <c r="C8" s="1" t="s">
        <v>30</v>
      </c>
      <c r="D8" s="1" t="n">
        <v>1</v>
      </c>
      <c r="E8" s="1" t="n">
        <v>450</v>
      </c>
      <c r="F8" s="2" t="n">
        <f aca="false">D8*E8</f>
        <v>450</v>
      </c>
      <c r="G8" s="2" t="n">
        <f aca="false">G7+F8</f>
        <v>6789</v>
      </c>
      <c r="H8" s="1" t="n">
        <f aca="false">ROUND(E8/95, 2)</f>
        <v>4.74</v>
      </c>
      <c r="I8" s="1" t="n">
        <f aca="false">ROUND(F8/95,2)</f>
        <v>4.74</v>
      </c>
      <c r="J8" s="1" t="n">
        <f aca="false">ROUND(G8/95,2)</f>
        <v>71.46</v>
      </c>
      <c r="K8" s="3" t="s">
        <v>31</v>
      </c>
    </row>
    <row r="9" customFormat="false" ht="15.75" hidden="false" customHeight="false" outlineLevel="0" collapsed="false">
      <c r="A9" s="1" t="n">
        <v>8</v>
      </c>
      <c r="B9" s="1" t="s">
        <v>32</v>
      </c>
      <c r="C9" s="1" t="s">
        <v>33</v>
      </c>
      <c r="D9" s="1" t="n">
        <v>7</v>
      </c>
      <c r="E9" s="1" t="n">
        <v>15</v>
      </c>
      <c r="F9" s="2" t="n">
        <f aca="false">D9*E9</f>
        <v>105</v>
      </c>
      <c r="G9" s="2" t="n">
        <f aca="false">G8+F9</f>
        <v>6894</v>
      </c>
      <c r="H9" s="1" t="n">
        <f aca="false">ROUND(E9/95, 2)</f>
        <v>0.16</v>
      </c>
      <c r="I9" s="1" t="n">
        <f aca="false">ROUND(F9/95,2)</f>
        <v>1.11</v>
      </c>
      <c r="J9" s="1" t="n">
        <f aca="false">ROUND(G9/95,2)</f>
        <v>72.57</v>
      </c>
      <c r="K9" s="3" t="s">
        <v>34</v>
      </c>
    </row>
    <row r="10" customFormat="false" ht="15.75" hidden="false" customHeight="false" outlineLevel="0" collapsed="false">
      <c r="A10" s="1" t="n">
        <v>9</v>
      </c>
      <c r="B10" s="1" t="s">
        <v>35</v>
      </c>
      <c r="C10" s="1" t="s">
        <v>36</v>
      </c>
      <c r="D10" s="1" t="n">
        <v>1</v>
      </c>
      <c r="E10" s="1" t="n">
        <v>25</v>
      </c>
      <c r="F10" s="2" t="n">
        <f aca="false">D10*E10</f>
        <v>25</v>
      </c>
      <c r="G10" s="2" t="n">
        <f aca="false">G9+F10</f>
        <v>6919</v>
      </c>
      <c r="H10" s="1" t="n">
        <f aca="false">ROUND(E10/95, 2)</f>
        <v>0.26</v>
      </c>
      <c r="I10" s="1" t="n">
        <f aca="false">ROUND(F10/95,2)</f>
        <v>0.26</v>
      </c>
      <c r="J10" s="1" t="n">
        <f aca="false">ROUND(G10/95,2)</f>
        <v>72.83</v>
      </c>
      <c r="K10" s="3" t="s">
        <v>37</v>
      </c>
    </row>
    <row r="11" customFormat="false" ht="15.75" hidden="false" customHeight="false" outlineLevel="0" collapsed="false">
      <c r="A11" s="1" t="n">
        <v>10</v>
      </c>
      <c r="B11" s="1" t="s">
        <v>38</v>
      </c>
      <c r="C11" s="1" t="s">
        <v>39</v>
      </c>
      <c r="D11" s="1" t="n">
        <v>100</v>
      </c>
      <c r="E11" s="1" t="n">
        <v>19</v>
      </c>
      <c r="F11" s="2" t="n">
        <f aca="false">D11*E11</f>
        <v>1900</v>
      </c>
      <c r="G11" s="2" t="n">
        <f aca="false">G10+F11</f>
        <v>8819</v>
      </c>
      <c r="H11" s="1" t="n">
        <f aca="false">ROUND(E11/95, 2)</f>
        <v>0.2</v>
      </c>
      <c r="I11" s="1" t="n">
        <f aca="false">ROUND(F11/95,2)</f>
        <v>20</v>
      </c>
      <c r="J11" s="1" t="n">
        <f aca="false">ROUND(G11/95,2)</f>
        <v>92.83</v>
      </c>
      <c r="K11" s="3" t="s">
        <v>40</v>
      </c>
    </row>
    <row r="12" customFormat="false" ht="15.75" hidden="false" customHeight="false" outlineLevel="0" collapsed="false"/>
    <row r="13" customFormat="false" ht="15.75" hidden="false" customHeight="false" outlineLevel="0" collapsed="false"/>
    <row r="14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2026-08-20T17:06:49Z</dcterms:modified>
  <cp:revision>1</cp:revision>
  <dc:subject/>
  <dc:title/>
</cp:coreProperties>
</file>