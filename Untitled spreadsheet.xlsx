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<sst xmlns="http://schemas.openxmlformats.org/spreadsheetml/2006/main" count="30" uniqueCount="30">
  <si>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SI No.</t>
  </si>
  <si>
    <t>Name</t>
  </si>
  <si>
    <t>Notes</t>
  </si>
  <si>
    <t>Quantity</t>
  </si>
  <si>
    <t>Price Per Unit</t>
  </si>
  <si>
    <t>Total</t>
  </si>
  <si>
    <t>Running Total</t>
  </si>
  <si>
    <t>Keygeek x MZ Y1 Keyboard Switch (Pack of 10)</t>
  </si>
  <si>
    <t>mx compatable switches</t>
  </si>
  <si>
    <t>PCB ( JLC Sponcered)</t>
  </si>
  <si>
    <t>sponcered PCB from JLCPCB</t>
  </si>
  <si>
    <t>Durock Clear Screw-In Stabilizers V2</t>
  </si>
  <si>
    <t>Screw In stabs</t>
  </si>
  <si>
    <t>Gateron Hotswap Sockets</t>
  </si>
  <si>
    <t>Hotswap Sockets</t>
  </si>
  <si>
    <t>1N4148 SOD-123 SMD Diode (Pack of 10)</t>
  </si>
  <si>
    <t>n-key roll over</t>
  </si>
  <si>
    <t>Ykyio Keycap Set</t>
  </si>
  <si>
    <t>Keycaps</t>
  </si>
  <si>
    <t>Pico</t>
  </si>
  <si>
    <t>MCU</t>
  </si>
  <si>
    <t>Heat Set insert</t>
  </si>
  <si>
    <t>m3</t>
  </si>
  <si>
    <t>Screw philips</t>
  </si>
  <si>
    <t>pack of 10</t>
  </si>
  <si>
    <t>Neopixles(sk6812 mini-e)</t>
  </si>
  <si>
    <t>LCSC</t>
  </si>
  <si>
    <t xml:space="preserve">Total in USD: </t>
  </si>
  <si>
    <t>Round Off:</t>
  </si>
  <si>
    <t xml:space="preserve">Mis tax&amp;shipping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</si>
</sst>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8.25"/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7.0</v>
      </c>
      <c r="E2" s="1">
        <v>300.0</v>
      </c>
      <c r="F2" s="2">
        <f t="shared" ref="F2:F11" si="1">D2*E2</f>
        <v>2100</v>
      </c>
      <c r="G2" s="1">
        <f>F2</f>
        <v>2100</v>
      </c>
    </row>
    <row r="3">
      <c r="A3" s="1">
        <v>2.0</v>
      </c>
      <c r="B3" s="1" t="s">
        <v>9</v>
      </c>
      <c r="C3" s="1" t="s">
        <v>10</v>
      </c>
      <c r="D3" s="1">
        <v>1.0</v>
      </c>
      <c r="E3" s="1">
        <v>200.0</v>
      </c>
      <c r="F3" s="2">
        <f t="shared" si="1"/>
        <v>200</v>
      </c>
      <c r="G3" s="2">
        <f t="shared" ref="G3:G11" si="2">G2+F3</f>
        <v>2300</v>
      </c>
    </row>
    <row r="4">
      <c r="A4" s="1">
        <v>3.0</v>
      </c>
      <c r="B4" s="1" t="s">
        <v>11</v>
      </c>
      <c r="C4" s="1" t="s">
        <v>12</v>
      </c>
      <c r="D4" s="1">
        <v>1.0</v>
      </c>
      <c r="E4" s="1">
        <v>1600.0</v>
      </c>
      <c r="F4" s="2">
        <f t="shared" si="1"/>
        <v>1600</v>
      </c>
      <c r="G4" s="2">
        <f t="shared" si="2"/>
        <v>3900</v>
      </c>
    </row>
    <row r="5">
      <c r="A5" s="1">
        <v>4.0</v>
      </c>
      <c r="B5" s="1" t="s">
        <v>13</v>
      </c>
      <c r="C5" s="1" t="s">
        <v>14</v>
      </c>
      <c r="D5" s="1">
        <v>70.0</v>
      </c>
      <c r="E5" s="1">
        <v>10.0</v>
      </c>
      <c r="F5" s="2">
        <f t="shared" si="1"/>
        <v>700</v>
      </c>
      <c r="G5" s="2">
        <f t="shared" si="2"/>
        <v>4600</v>
      </c>
    </row>
    <row r="6">
      <c r="A6" s="1">
        <v>5.0</v>
      </c>
      <c r="B6" s="1" t="s">
        <v>15</v>
      </c>
      <c r="C6" s="1" t="s">
        <v>16</v>
      </c>
      <c r="D6" s="1">
        <v>7.0</v>
      </c>
      <c r="E6" s="1">
        <v>20.0</v>
      </c>
      <c r="F6" s="2">
        <f t="shared" si="1"/>
        <v>140</v>
      </c>
      <c r="G6" s="2">
        <f t="shared" si="2"/>
        <v>4740</v>
      </c>
    </row>
    <row r="7">
      <c r="A7" s="1">
        <v>6.0</v>
      </c>
      <c r="B7" s="1" t="s">
        <v>17</v>
      </c>
      <c r="C7" s="1" t="s">
        <v>18</v>
      </c>
      <c r="D7" s="1">
        <v>1.0</v>
      </c>
      <c r="E7" s="3">
        <v>1599.0</v>
      </c>
      <c r="F7" s="2">
        <f t="shared" si="1"/>
        <v>1599</v>
      </c>
      <c r="G7" s="2">
        <f t="shared" si="2"/>
        <v>6339</v>
      </c>
    </row>
    <row r="8">
      <c r="A8" s="1">
        <v>7.0</v>
      </c>
      <c r="B8" s="1" t="s">
        <v>19</v>
      </c>
      <c r="C8" s="1" t="s">
        <v>20</v>
      </c>
      <c r="D8" s="1">
        <v>1.0</v>
      </c>
      <c r="E8" s="1">
        <v>450.0</v>
      </c>
      <c r="F8" s="2">
        <f t="shared" si="1"/>
        <v>450</v>
      </c>
      <c r="G8" s="2">
        <f t="shared" si="2"/>
        <v>6789</v>
      </c>
    </row>
    <row r="9">
      <c r="A9" s="1">
        <v>8.0</v>
      </c>
      <c r="B9" s="1" t="s">
        <v>21</v>
      </c>
      <c r="C9" s="1" t="s">
        <v>22</v>
      </c>
      <c r="D9" s="1">
        <v>7.0</v>
      </c>
      <c r="E9" s="1">
        <v>15.0</v>
      </c>
      <c r="F9" s="2">
        <f t="shared" si="1"/>
        <v>105</v>
      </c>
      <c r="G9" s="2">
        <f t="shared" si="2"/>
        <v>6894</v>
      </c>
    </row>
    <row r="10">
      <c r="A10" s="1">
        <v>9.0</v>
      </c>
      <c r="B10" s="1" t="s">
        <v>23</v>
      </c>
      <c r="C10" s="1" t="s">
        <v>24</v>
      </c>
      <c r="D10" s="1">
        <v>1.0</v>
      </c>
      <c r="E10" s="1">
        <v>25.0</v>
      </c>
      <c r="F10" s="2">
        <f t="shared" si="1"/>
        <v>25</v>
      </c>
      <c r="G10" s="2">
        <f t="shared" si="2"/>
        <v>6919</v>
      </c>
    </row>
    <row r="11">
      <c r="A11" s="1">
        <v>10.0</v>
      </c>
      <c r="B11" s="1" t="s">
        <v>25</v>
      </c>
      <c r="C11" s="1" t="s">
        <v>26</v>
      </c>
      <c r="D11" s="1">
        <v>100.0</v>
      </c>
      <c r="E11" s="1">
        <v>19.0</v>
      </c>
      <c r="F11" s="2">
        <f t="shared" si="1"/>
        <v>1900</v>
      </c>
      <c r="G11" s="2">
        <f t="shared" si="2"/>
        <v>8819</v>
      </c>
    </row>
    <row r="12">
      <c r="A12" s="1" t="s">
        <v>27</v>
      </c>
      <c r="B12" s="2">
        <f>G11/97</f>
        <v>90.91752577</v>
      </c>
    </row>
    <row r="13">
      <c r="A13" s="1" t="s">
        <v>28</v>
      </c>
      <c r="B13" s="2">
        <f>ROUNDUP(B12,0)</f>
        <v>91</v>
      </c>
    </row>
    <row r="14">
      <c r="A14" s="1" t="s">
        <v>29</v>
      </c>
      <c r="B14" s="1">
        <v>95.0</v>
      </c>
    </row>
  </sheetData>
  <drawing r:id="rId1"/>
</worksheet>
</file>